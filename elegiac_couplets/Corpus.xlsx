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apaccara/Documents/Documenti/Università/POST-LAUREA/DOTTORATO/Lavoro/Digitale/Stilometria/Codice nuovo/Distici/"/>
    </mc:Choice>
  </mc:AlternateContent>
  <xr:revisionPtr revIDLastSave="0" documentId="13_ncr:1_{347B8F83-FAE9-414B-8C01-1459C12F537C}" xr6:coauthVersionLast="47" xr6:coauthVersionMax="47" xr10:uidLastSave="{00000000-0000-0000-0000-000000000000}"/>
  <bookViews>
    <workbookView xWindow="140" yWindow="620" windowWidth="21040" windowHeight="15060" xr2:uid="{0A81A14F-60F6-FB4D-8AF2-4DB4EE2AB397}"/>
  </bookViews>
  <sheets>
    <sheet name="Corpu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/>
  <c r="F36" i="2"/>
  <c r="E36" i="2"/>
</calcChain>
</file>

<file path=xl/sharedStrings.xml><?xml version="1.0" encoding="utf-8"?>
<sst xmlns="http://schemas.openxmlformats.org/spreadsheetml/2006/main" count="150" uniqueCount="110">
  <si>
    <t>Liber Regum</t>
  </si>
  <si>
    <t>Hildebertus Cenomanensis</t>
  </si>
  <si>
    <t>Carmina minora</t>
  </si>
  <si>
    <t>Versus de mysterio missae</t>
  </si>
  <si>
    <t>Carmen in libros Regum</t>
  </si>
  <si>
    <t>Tobias</t>
  </si>
  <si>
    <t>Matthaeus Vindocinensis</t>
  </si>
  <si>
    <t>In libros Regum</t>
  </si>
  <si>
    <t>Bernardus Morlanensis</t>
  </si>
  <si>
    <t>Petrus Riga</t>
  </si>
  <si>
    <t>Alexander Essebiensis</t>
  </si>
  <si>
    <t>Brevissima Comprehensio Historiarum</t>
  </si>
  <si>
    <t>Opusculum in Pentateuchum</t>
  </si>
  <si>
    <t>Hugo Ambianensis</t>
  </si>
  <si>
    <t>Hortus Deliciarum Salomonis</t>
  </si>
  <si>
    <t>Hermannus Werdinensis</t>
  </si>
  <si>
    <t>Adelae Comitissae</t>
  </si>
  <si>
    <t>Baldericus Burguliensis</t>
  </si>
  <si>
    <t>M_tobias.txt</t>
  </si>
  <si>
    <t>PR_aurora.txt</t>
  </si>
  <si>
    <t>Unkown</t>
  </si>
  <si>
    <t>BM_regum.txt</t>
  </si>
  <si>
    <t>fname</t>
  </si>
  <si>
    <t>title</t>
  </si>
  <si>
    <t>author</t>
  </si>
  <si>
    <t>Ars versificatoria</t>
  </si>
  <si>
    <t>Epistulae</t>
  </si>
  <si>
    <t>Vita Mahumeti</t>
  </si>
  <si>
    <t>Embrico Moguntinus</t>
  </si>
  <si>
    <t>Rangerius Lucensis</t>
  </si>
  <si>
    <t>Vita Anselmi</t>
  </si>
  <si>
    <t xml:space="preserve">Hugo Matisconensis </t>
  </si>
  <si>
    <t>De militum gestis</t>
  </si>
  <si>
    <t xml:space="preserve">Stephanus Rothomagensis </t>
  </si>
  <si>
    <t xml:space="preserve">Nigellus de Longo Campo </t>
  </si>
  <si>
    <t>Quilichinus de Spoleto</t>
  </si>
  <si>
    <t>Historia Alexandri Magni</t>
  </si>
  <si>
    <t>Speculum Stultorum</t>
  </si>
  <si>
    <t>Miracula Mariae</t>
  </si>
  <si>
    <t>Radulfus Tortarius</t>
  </si>
  <si>
    <t>Miracula Sancti Benedicti</t>
  </si>
  <si>
    <t>De memorabilibus</t>
  </si>
  <si>
    <t>Ysengrimus</t>
  </si>
  <si>
    <t xml:space="preserve">De excidio Troie  </t>
  </si>
  <si>
    <t>Simon Aurea Capra</t>
  </si>
  <si>
    <t>Bernardus Silvester</t>
  </si>
  <si>
    <t>Mathematicus</t>
  </si>
  <si>
    <t>Entheticus</t>
  </si>
  <si>
    <t>Iohannes Saresberiensis</t>
  </si>
  <si>
    <t>De rebus Siculis</t>
  </si>
  <si>
    <t>Petrus de Ebulo</t>
  </si>
  <si>
    <t>De Pyramo</t>
  </si>
  <si>
    <t>Troilus</t>
  </si>
  <si>
    <t>Albertus Stadensis</t>
  </si>
  <si>
    <t>Guiardinus</t>
  </si>
  <si>
    <t>De Paulino et Polla</t>
  </si>
  <si>
    <t>Ricardus de Venosa</t>
  </si>
  <si>
    <t xml:space="preserve">Speculum </t>
  </si>
  <si>
    <t>Belinus Bixolus</t>
  </si>
  <si>
    <t>role</t>
  </si>
  <si>
    <t>problem</t>
  </si>
  <si>
    <t>candidate1</t>
  </si>
  <si>
    <t>candidate2</t>
  </si>
  <si>
    <t>biblical_impostor</t>
  </si>
  <si>
    <t>general_impostor</t>
  </si>
  <si>
    <t>n. words</t>
  </si>
  <si>
    <t xml:space="preserve"> Draco Normannicus</t>
  </si>
  <si>
    <t>ASt_troilus.txt</t>
  </si>
  <si>
    <t>AE_bhct.txt</t>
  </si>
  <si>
    <t>BB_adelae.txt</t>
  </si>
  <si>
    <t>BBi_speculum.txt</t>
  </si>
  <si>
    <t>BS_mathematicus.txt</t>
  </si>
  <si>
    <t>EM_mahumeti.txt</t>
  </si>
  <si>
    <t>H_carmina.txt</t>
  </si>
  <si>
    <t>H_mysterio.txt</t>
  </si>
  <si>
    <t>HA_pentateuchum.txt</t>
  </si>
  <si>
    <t>HM_gestis.txt</t>
  </si>
  <si>
    <t>HW_hortus.txt</t>
  </si>
  <si>
    <t>IS_entheticus.txt</t>
  </si>
  <si>
    <t>M_ars.txt</t>
  </si>
  <si>
    <t>M_epistulae.txt</t>
  </si>
  <si>
    <t>NLC_speculum.txt</t>
  </si>
  <si>
    <t>NLC_miracula.txt</t>
  </si>
  <si>
    <t>Aurora</t>
  </si>
  <si>
    <t>PDE_rebussiculis.txt</t>
  </si>
  <si>
    <t>QS_alexandri.txt</t>
  </si>
  <si>
    <t>RDV_paulino.txt</t>
  </si>
  <si>
    <t>RL_anselmi.txt</t>
  </si>
  <si>
    <t>RT_memorabilibus.txt</t>
  </si>
  <si>
    <t>RT_epistulae.txt</t>
  </si>
  <si>
    <t>RT_miracula.txt</t>
  </si>
  <si>
    <t>SAC_excidio.txt</t>
  </si>
  <si>
    <t>SR_draco.txt</t>
  </si>
  <si>
    <t>U1_pyramo.txt</t>
  </si>
  <si>
    <t>U2_ysengrimus.txt</t>
  </si>
  <si>
    <t>U3_guiardinus.txt</t>
  </si>
  <si>
    <t>n. couplets</t>
  </si>
  <si>
    <t>couplets not scanned</t>
  </si>
  <si>
    <t>Notes</t>
  </si>
  <si>
    <t>not all distichs, 102 hexameters</t>
  </si>
  <si>
    <t>not all distichs, 195 hexameters</t>
  </si>
  <si>
    <t>not all distichs, 1066 hexameters</t>
  </si>
  <si>
    <t>not all distichs</t>
  </si>
  <si>
    <t>BI_reynardus.xml</t>
  </si>
  <si>
    <t>Reynardus Vulpes</t>
  </si>
  <si>
    <t>Balduinus Iuvenis</t>
  </si>
  <si>
    <t>deleted some incomplete verses</t>
  </si>
  <si>
    <t>deleted isolated haxameters</t>
  </si>
  <si>
    <t>U4_liberregum.txt</t>
  </si>
  <si>
    <t>X_librosregum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</si>
</sst>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C42827-8BF5-A54B-B600-08DC554AC49B}" name="Tabella3" displayName="Tabella3" ref="A1:G36" totalsRowCount="1" headerRowDxfId="15" dataDxfId="14">
  <autoFilter ref="A1:G35" xr:uid="{50C42827-8BF5-A54B-B600-08DC554AC49B}"/>
  <sortState xmlns:xlrd2="http://schemas.microsoft.com/office/spreadsheetml/2017/richdata2" ref="A2:G35">
    <sortCondition ref="A2:A35"/>
  </sortState>
  <tableColumns count="7">
    <tableColumn id="1" xr3:uid="{74EB1DC9-014E-614C-83E5-A10FFE86FDF9}" name="fname" dataDxfId="13" totalsRowDxfId="12"/>
    <tableColumn id="2" xr3:uid="{F8F7A137-6FDA-BA4D-8CB5-45C9ADF6D46D}" name="title" dataDxfId="11" totalsRowDxfId="10"/>
    <tableColumn id="3" xr3:uid="{1AF09036-739E-F44A-824F-4BC669F75F72}" name="author" dataDxfId="9" totalsRowDxfId="8"/>
    <tableColumn id="4" xr3:uid="{DEFD2771-BE89-F442-9AC2-1FF121A02A0F}" name="role" dataDxfId="7" totalsRowDxfId="6"/>
    <tableColumn id="5" xr3:uid="{D6E52375-4712-E44D-BBD4-8F1BBEEA5DBF}" name="n. words" totalsRowFunction="custom" dataDxfId="5" totalsRowDxfId="4">
      <totalsRowFormula>SUM(E2:E35)</totalsRowFormula>
    </tableColumn>
    <tableColumn id="6" xr3:uid="{8D991B1C-DBBE-D24E-BB77-06F210C19F85}" name="n. couplets" totalsRowFunction="custom" dataDxfId="3" totalsRowDxfId="2">
      <totalsRowFormula>SUM(F2:F35)</totalsRowFormula>
    </tableColumn>
    <tableColumn id="7" xr3:uid="{963E1A9B-04AE-3A4E-A364-A169AFC9BAF0}" name="couplets not scanned" totalsRowFunction="custom" dataDxfId="1" totalsRowDxfId="0">
      <totalsRowFormula>SUM(G2:G35)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F9B8-BB63-3F4B-AE86-1EC9211C6C9D}">
  <dimension ref="A1:H36"/>
  <sheetViews>
    <sheetView tabSelected="1" topLeftCell="A4" zoomScale="130" zoomScaleNormal="130" workbookViewId="0">
      <selection activeCell="G11" sqref="G11"/>
    </sheetView>
  </sheetViews>
  <sheetFormatPr baseColWidth="10" defaultRowHeight="16" x14ac:dyDescent="0.2"/>
  <cols>
    <col min="1" max="1" width="19" style="1" bestFit="1" customWidth="1"/>
    <col min="2" max="2" width="32.83203125" style="1" bestFit="1" customWidth="1"/>
    <col min="3" max="3" width="25.83203125" style="1" bestFit="1" customWidth="1"/>
    <col min="4" max="4" width="16.6640625" style="1" customWidth="1"/>
    <col min="5" max="5" width="11" style="1" customWidth="1"/>
    <col min="6" max="6" width="12.6640625" style="1" customWidth="1"/>
    <col min="7" max="7" width="21.33203125" style="1" customWidth="1"/>
    <col min="8" max="8" width="27.33203125" style="1" bestFit="1" customWidth="1"/>
    <col min="9" max="16384" width="10.83203125" style="1"/>
  </cols>
  <sheetData>
    <row r="1" spans="1:8" s="2" customFormat="1" x14ac:dyDescent="0.2">
      <c r="A1" s="2" t="s">
        <v>22</v>
      </c>
      <c r="B1" s="2" t="s">
        <v>23</v>
      </c>
      <c r="C1" s="2" t="s">
        <v>24</v>
      </c>
      <c r="D1" s="2" t="s">
        <v>59</v>
      </c>
      <c r="E1" s="2" t="s">
        <v>65</v>
      </c>
      <c r="F1" s="2" t="s">
        <v>96</v>
      </c>
      <c r="G1" s="2" t="s">
        <v>97</v>
      </c>
      <c r="H1" s="2" t="s">
        <v>98</v>
      </c>
    </row>
    <row r="2" spans="1:8" x14ac:dyDescent="0.2">
      <c r="A2" s="1" t="s">
        <v>68</v>
      </c>
      <c r="B2" s="1" t="s">
        <v>11</v>
      </c>
      <c r="C2" s="1" t="s">
        <v>10</v>
      </c>
      <c r="D2" s="1" t="s">
        <v>63</v>
      </c>
      <c r="E2" s="1">
        <v>4323</v>
      </c>
      <c r="F2" s="1">
        <v>350</v>
      </c>
      <c r="G2" s="1">
        <v>32</v>
      </c>
    </row>
    <row r="3" spans="1:8" x14ac:dyDescent="0.2">
      <c r="A3" s="1" t="s">
        <v>67</v>
      </c>
      <c r="B3" s="1" t="s">
        <v>52</v>
      </c>
      <c r="C3" s="1" t="s">
        <v>53</v>
      </c>
      <c r="D3" s="1" t="s">
        <v>64</v>
      </c>
      <c r="E3" s="1">
        <v>37313</v>
      </c>
      <c r="F3" s="1">
        <v>2658</v>
      </c>
      <c r="G3" s="1">
        <v>154</v>
      </c>
      <c r="H3" s="1" t="s">
        <v>99</v>
      </c>
    </row>
    <row r="4" spans="1:8" x14ac:dyDescent="0.2">
      <c r="A4" s="1" t="s">
        <v>69</v>
      </c>
      <c r="B4" s="1" t="s">
        <v>16</v>
      </c>
      <c r="C4" s="1" t="s">
        <v>17</v>
      </c>
      <c r="D4" s="1" t="s">
        <v>64</v>
      </c>
      <c r="E4" s="1">
        <v>8031</v>
      </c>
      <c r="F4" s="1">
        <v>684</v>
      </c>
      <c r="G4" s="1">
        <v>31</v>
      </c>
    </row>
    <row r="5" spans="1:8" x14ac:dyDescent="0.2">
      <c r="A5" s="1" t="s">
        <v>70</v>
      </c>
      <c r="B5" s="1" t="s">
        <v>57</v>
      </c>
      <c r="C5" s="1" t="s">
        <v>58</v>
      </c>
      <c r="D5" s="1" t="s">
        <v>64</v>
      </c>
      <c r="E5" s="1">
        <v>12438</v>
      </c>
      <c r="F5" s="1">
        <v>987</v>
      </c>
      <c r="G5" s="1">
        <v>47</v>
      </c>
    </row>
    <row r="6" spans="1:8" x14ac:dyDescent="0.2">
      <c r="A6" s="1" t="s">
        <v>103</v>
      </c>
      <c r="B6" s="1" t="s">
        <v>104</v>
      </c>
      <c r="C6" s="1" t="s">
        <v>105</v>
      </c>
      <c r="D6" s="1" t="s">
        <v>64</v>
      </c>
      <c r="E6" s="1">
        <v>11885</v>
      </c>
      <c r="F6" s="1">
        <v>925</v>
      </c>
      <c r="G6" s="1">
        <v>120</v>
      </c>
    </row>
    <row r="7" spans="1:8" x14ac:dyDescent="0.2">
      <c r="A7" s="1" t="s">
        <v>21</v>
      </c>
      <c r="B7" s="1" t="s">
        <v>7</v>
      </c>
      <c r="C7" s="1" t="s">
        <v>8</v>
      </c>
      <c r="D7" s="1" t="s">
        <v>63</v>
      </c>
      <c r="E7" s="1">
        <v>6628</v>
      </c>
      <c r="F7" s="1">
        <v>510</v>
      </c>
      <c r="G7" s="1">
        <v>53</v>
      </c>
    </row>
    <row r="8" spans="1:8" x14ac:dyDescent="0.2">
      <c r="A8" s="1" t="s">
        <v>71</v>
      </c>
      <c r="B8" s="1" t="s">
        <v>46</v>
      </c>
      <c r="C8" s="1" t="s">
        <v>45</v>
      </c>
      <c r="D8" s="1" t="s">
        <v>64</v>
      </c>
      <c r="E8" s="1">
        <v>5081</v>
      </c>
      <c r="F8" s="1">
        <v>427</v>
      </c>
      <c r="G8" s="1">
        <v>14</v>
      </c>
    </row>
    <row r="9" spans="1:8" x14ac:dyDescent="0.2">
      <c r="A9" s="1" t="s">
        <v>72</v>
      </c>
      <c r="B9" s="1" t="s">
        <v>27</v>
      </c>
      <c r="C9" s="1" t="s">
        <v>28</v>
      </c>
      <c r="D9" s="1" t="s">
        <v>64</v>
      </c>
      <c r="E9" s="1">
        <v>7140</v>
      </c>
      <c r="F9" s="1">
        <v>574</v>
      </c>
      <c r="G9" s="1">
        <v>18</v>
      </c>
    </row>
    <row r="10" spans="1:8" x14ac:dyDescent="0.2">
      <c r="A10" s="1" t="s">
        <v>73</v>
      </c>
      <c r="B10" s="1" t="s">
        <v>2</v>
      </c>
      <c r="C10" s="1" t="s">
        <v>1</v>
      </c>
      <c r="D10" s="1" t="s">
        <v>61</v>
      </c>
      <c r="E10" s="1">
        <v>3617</v>
      </c>
      <c r="F10" s="1">
        <v>283</v>
      </c>
      <c r="G10" s="1">
        <v>2</v>
      </c>
    </row>
    <row r="11" spans="1:8" x14ac:dyDescent="0.2">
      <c r="A11" s="1" t="s">
        <v>74</v>
      </c>
      <c r="B11" s="1" t="s">
        <v>3</v>
      </c>
      <c r="C11" s="1" t="s">
        <v>1</v>
      </c>
      <c r="D11" s="1" t="s">
        <v>61</v>
      </c>
      <c r="E11" s="1">
        <v>3786</v>
      </c>
      <c r="F11" s="1">
        <v>304</v>
      </c>
      <c r="G11" s="1">
        <v>1</v>
      </c>
    </row>
    <row r="12" spans="1:8" x14ac:dyDescent="0.2">
      <c r="A12" s="1" t="s">
        <v>75</v>
      </c>
      <c r="B12" s="1" t="s">
        <v>12</v>
      </c>
      <c r="C12" s="1" t="s">
        <v>13</v>
      </c>
      <c r="D12" s="1" t="s">
        <v>63</v>
      </c>
      <c r="E12" s="1">
        <v>6046</v>
      </c>
      <c r="F12" s="1">
        <v>505</v>
      </c>
      <c r="G12" s="1">
        <v>34</v>
      </c>
    </row>
    <row r="13" spans="1:8" x14ac:dyDescent="0.2">
      <c r="A13" s="1" t="s">
        <v>76</v>
      </c>
      <c r="B13" s="1" t="s">
        <v>32</v>
      </c>
      <c r="C13" s="1" t="s">
        <v>31</v>
      </c>
      <c r="D13" s="1" t="s">
        <v>64</v>
      </c>
      <c r="E13" s="1">
        <v>35712</v>
      </c>
      <c r="F13" s="1">
        <v>2997</v>
      </c>
      <c r="G13" s="1">
        <v>41</v>
      </c>
    </row>
    <row r="14" spans="1:8" x14ac:dyDescent="0.2">
      <c r="A14" s="1" t="s">
        <v>77</v>
      </c>
      <c r="B14" s="1" t="s">
        <v>14</v>
      </c>
      <c r="C14" s="1" t="s">
        <v>15</v>
      </c>
      <c r="D14" s="1" t="s">
        <v>63</v>
      </c>
      <c r="E14" s="1">
        <v>60157</v>
      </c>
      <c r="F14" s="1">
        <v>4777</v>
      </c>
      <c r="G14" s="1">
        <v>243</v>
      </c>
      <c r="H14" s="1" t="s">
        <v>107</v>
      </c>
    </row>
    <row r="15" spans="1:8" x14ac:dyDescent="0.2">
      <c r="A15" s="1" t="s">
        <v>78</v>
      </c>
      <c r="B15" s="1" t="s">
        <v>47</v>
      </c>
      <c r="C15" s="1" t="s">
        <v>48</v>
      </c>
      <c r="D15" s="1" t="s">
        <v>64</v>
      </c>
      <c r="E15" s="1">
        <v>11524</v>
      </c>
      <c r="F15" s="1">
        <v>926</v>
      </c>
      <c r="G15" s="1">
        <v>17</v>
      </c>
    </row>
    <row r="16" spans="1:8" x14ac:dyDescent="0.2">
      <c r="A16" s="1" t="s">
        <v>79</v>
      </c>
      <c r="B16" s="1" t="s">
        <v>25</v>
      </c>
      <c r="C16" s="1" t="s">
        <v>6</v>
      </c>
      <c r="D16" s="1" t="s">
        <v>62</v>
      </c>
      <c r="E16" s="1">
        <v>4064</v>
      </c>
      <c r="F16" s="1">
        <v>354</v>
      </c>
      <c r="G16" s="1">
        <v>19</v>
      </c>
      <c r="H16" s="1" t="s">
        <v>100</v>
      </c>
    </row>
    <row r="17" spans="1:8" x14ac:dyDescent="0.2">
      <c r="A17" s="1" t="s">
        <v>80</v>
      </c>
      <c r="B17" s="1" t="s">
        <v>26</v>
      </c>
      <c r="C17" s="1" t="s">
        <v>6</v>
      </c>
      <c r="D17" s="1" t="s">
        <v>62</v>
      </c>
      <c r="E17" s="1">
        <v>10431</v>
      </c>
      <c r="F17" s="1">
        <v>919</v>
      </c>
      <c r="G17" s="1">
        <v>70</v>
      </c>
    </row>
    <row r="18" spans="1:8" x14ac:dyDescent="0.2">
      <c r="A18" s="1" t="s">
        <v>18</v>
      </c>
      <c r="B18" s="1" t="s">
        <v>5</v>
      </c>
      <c r="C18" s="1" t="s">
        <v>6</v>
      </c>
      <c r="D18" s="1" t="s">
        <v>62</v>
      </c>
      <c r="E18" s="1">
        <v>12852</v>
      </c>
      <c r="F18" s="1">
        <v>1113</v>
      </c>
      <c r="G18" s="1">
        <v>63</v>
      </c>
    </row>
    <row r="19" spans="1:8" x14ac:dyDescent="0.2">
      <c r="A19" s="1" t="s">
        <v>82</v>
      </c>
      <c r="B19" s="1" t="s">
        <v>38</v>
      </c>
      <c r="C19" s="1" t="s">
        <v>34</v>
      </c>
      <c r="D19" s="1" t="s">
        <v>64</v>
      </c>
      <c r="E19" s="1">
        <v>16767</v>
      </c>
      <c r="F19" s="1">
        <v>1345</v>
      </c>
      <c r="G19" s="1">
        <v>50</v>
      </c>
    </row>
    <row r="20" spans="1:8" x14ac:dyDescent="0.2">
      <c r="A20" s="1" t="s">
        <v>81</v>
      </c>
      <c r="B20" s="1" t="s">
        <v>37</v>
      </c>
      <c r="C20" s="1" t="s">
        <v>34</v>
      </c>
      <c r="D20" s="1" t="s">
        <v>64</v>
      </c>
      <c r="E20" s="1">
        <v>24445</v>
      </c>
      <c r="F20" s="1">
        <v>1938</v>
      </c>
      <c r="G20" s="1">
        <v>32</v>
      </c>
    </row>
    <row r="21" spans="1:8" x14ac:dyDescent="0.2">
      <c r="A21" s="1" t="s">
        <v>84</v>
      </c>
      <c r="B21" s="1" t="s">
        <v>49</v>
      </c>
      <c r="C21" s="1" t="s">
        <v>50</v>
      </c>
      <c r="D21" s="1" t="s">
        <v>64</v>
      </c>
      <c r="E21" s="1">
        <v>10580</v>
      </c>
      <c r="F21" s="1">
        <v>833</v>
      </c>
      <c r="G21" s="1">
        <v>59</v>
      </c>
    </row>
    <row r="22" spans="1:8" x14ac:dyDescent="0.2">
      <c r="A22" s="1" t="s">
        <v>19</v>
      </c>
      <c r="B22" s="1" t="s">
        <v>83</v>
      </c>
      <c r="C22" s="1" t="s">
        <v>9</v>
      </c>
      <c r="D22" s="1" t="s">
        <v>63</v>
      </c>
      <c r="E22" s="1">
        <v>77985</v>
      </c>
      <c r="F22" s="1">
        <v>6144</v>
      </c>
      <c r="G22" s="1">
        <v>418</v>
      </c>
      <c r="H22" s="1" t="s">
        <v>101</v>
      </c>
    </row>
    <row r="23" spans="1:8" x14ac:dyDescent="0.2">
      <c r="A23" s="1" t="s">
        <v>85</v>
      </c>
      <c r="B23" s="1" t="s">
        <v>36</v>
      </c>
      <c r="C23" s="1" t="s">
        <v>35</v>
      </c>
      <c r="D23" s="1" t="s">
        <v>64</v>
      </c>
      <c r="E23" s="1">
        <v>24218</v>
      </c>
      <c r="F23" s="1">
        <v>1957</v>
      </c>
      <c r="G23" s="1">
        <v>92</v>
      </c>
    </row>
    <row r="24" spans="1:8" x14ac:dyDescent="0.2">
      <c r="A24" s="1" t="s">
        <v>86</v>
      </c>
      <c r="B24" s="1" t="s">
        <v>55</v>
      </c>
      <c r="C24" s="1" t="s">
        <v>56</v>
      </c>
      <c r="D24" s="1" t="s">
        <v>64</v>
      </c>
      <c r="E24" s="1">
        <v>7024</v>
      </c>
      <c r="F24" s="1">
        <v>570</v>
      </c>
      <c r="G24" s="1">
        <v>35</v>
      </c>
    </row>
    <row r="25" spans="1:8" x14ac:dyDescent="0.2">
      <c r="A25" s="1" t="s">
        <v>87</v>
      </c>
      <c r="B25" s="1" t="s">
        <v>30</v>
      </c>
      <c r="C25" s="1" t="s">
        <v>29</v>
      </c>
      <c r="D25" s="1" t="s">
        <v>64</v>
      </c>
      <c r="E25" s="1">
        <v>45472</v>
      </c>
      <c r="F25" s="1">
        <v>3652</v>
      </c>
      <c r="G25" s="1">
        <v>248</v>
      </c>
    </row>
    <row r="26" spans="1:8" x14ac:dyDescent="0.2">
      <c r="A26" s="1" t="s">
        <v>89</v>
      </c>
      <c r="B26" s="1" t="s">
        <v>26</v>
      </c>
      <c r="C26" s="1" t="s">
        <v>39</v>
      </c>
      <c r="D26" s="1" t="s">
        <v>64</v>
      </c>
      <c r="E26" s="1">
        <v>13022</v>
      </c>
      <c r="F26" s="1">
        <v>1112</v>
      </c>
      <c r="G26" s="1">
        <v>55</v>
      </c>
      <c r="H26" s="1" t="s">
        <v>106</v>
      </c>
    </row>
    <row r="27" spans="1:8" x14ac:dyDescent="0.2">
      <c r="A27" s="1" t="s">
        <v>88</v>
      </c>
      <c r="B27" s="1" t="s">
        <v>41</v>
      </c>
      <c r="C27" s="1" t="s">
        <v>39</v>
      </c>
      <c r="D27" s="1" t="s">
        <v>64</v>
      </c>
      <c r="E27" s="1">
        <v>39821</v>
      </c>
      <c r="F27" s="1">
        <v>3480</v>
      </c>
      <c r="G27" s="1">
        <v>220</v>
      </c>
    </row>
    <row r="28" spans="1:8" x14ac:dyDescent="0.2">
      <c r="A28" s="1" t="s">
        <v>90</v>
      </c>
      <c r="B28" s="1" t="s">
        <v>40</v>
      </c>
      <c r="C28" s="1" t="s">
        <v>39</v>
      </c>
      <c r="D28" s="1" t="s">
        <v>64</v>
      </c>
      <c r="E28" s="1">
        <v>5804</v>
      </c>
      <c r="F28" s="1">
        <v>497</v>
      </c>
      <c r="G28" s="1">
        <v>21</v>
      </c>
    </row>
    <row r="29" spans="1:8" x14ac:dyDescent="0.2">
      <c r="A29" s="1" t="s">
        <v>91</v>
      </c>
      <c r="B29" s="1" t="s">
        <v>43</v>
      </c>
      <c r="C29" s="1" t="s">
        <v>44</v>
      </c>
      <c r="D29" s="1" t="s">
        <v>64</v>
      </c>
      <c r="E29" s="1">
        <v>6370</v>
      </c>
      <c r="F29" s="1">
        <v>497</v>
      </c>
      <c r="G29" s="1">
        <v>30</v>
      </c>
    </row>
    <row r="30" spans="1:8" x14ac:dyDescent="0.2">
      <c r="A30" s="1" t="s">
        <v>92</v>
      </c>
      <c r="B30" s="1" t="s">
        <v>66</v>
      </c>
      <c r="C30" s="1" t="s">
        <v>33</v>
      </c>
      <c r="D30" s="1" t="s">
        <v>64</v>
      </c>
      <c r="E30" s="1">
        <v>26655</v>
      </c>
      <c r="F30" s="1">
        <v>2194</v>
      </c>
      <c r="G30" s="1">
        <v>71</v>
      </c>
    </row>
    <row r="31" spans="1:8" x14ac:dyDescent="0.2">
      <c r="A31" s="1" t="s">
        <v>93</v>
      </c>
      <c r="B31" s="1" t="s">
        <v>51</v>
      </c>
      <c r="C31" s="1" t="s">
        <v>20</v>
      </c>
      <c r="D31" s="1" t="s">
        <v>64</v>
      </c>
      <c r="E31" s="1">
        <v>4341</v>
      </c>
      <c r="F31" s="1">
        <v>341</v>
      </c>
      <c r="G31" s="1">
        <v>35</v>
      </c>
      <c r="H31" s="1" t="s">
        <v>102</v>
      </c>
    </row>
    <row r="32" spans="1:8" x14ac:dyDescent="0.2">
      <c r="A32" s="1" t="s">
        <v>94</v>
      </c>
      <c r="B32" s="1" t="s">
        <v>42</v>
      </c>
      <c r="C32" s="1" t="s">
        <v>20</v>
      </c>
      <c r="D32" s="1" t="s">
        <v>64</v>
      </c>
      <c r="E32" s="1">
        <v>41146</v>
      </c>
      <c r="F32" s="1">
        <v>484</v>
      </c>
      <c r="G32" s="1">
        <v>34</v>
      </c>
    </row>
    <row r="33" spans="1:7" x14ac:dyDescent="0.2">
      <c r="A33" s="1" t="s">
        <v>95</v>
      </c>
      <c r="B33" s="1" t="s">
        <v>54</v>
      </c>
      <c r="C33" s="1" t="s">
        <v>20</v>
      </c>
      <c r="D33" s="1" t="s">
        <v>64</v>
      </c>
      <c r="E33" s="1">
        <v>5817</v>
      </c>
      <c r="F33" s="1">
        <v>3296</v>
      </c>
      <c r="G33" s="1">
        <v>123</v>
      </c>
    </row>
    <row r="34" spans="1:7" x14ac:dyDescent="0.2">
      <c r="A34" s="1" t="s">
        <v>108</v>
      </c>
      <c r="B34" s="1" t="s">
        <v>0</v>
      </c>
      <c r="C34" s="1" t="s">
        <v>20</v>
      </c>
      <c r="D34" s="1" t="s">
        <v>63</v>
      </c>
      <c r="E34" s="1">
        <v>8509</v>
      </c>
      <c r="F34" s="1">
        <v>675</v>
      </c>
      <c r="G34" s="1">
        <v>2</v>
      </c>
    </row>
    <row r="35" spans="1:7" x14ac:dyDescent="0.2">
      <c r="A35" s="1" t="s">
        <v>109</v>
      </c>
      <c r="B35" s="1" t="s">
        <v>4</v>
      </c>
      <c r="C35" s="1" t="s">
        <v>20</v>
      </c>
      <c r="D35" s="1" t="s">
        <v>60</v>
      </c>
      <c r="E35" s="1">
        <v>22107</v>
      </c>
      <c r="F35" s="1">
        <v>1813</v>
      </c>
      <c r="G35" s="1">
        <v>26</v>
      </c>
    </row>
    <row r="36" spans="1:7" x14ac:dyDescent="0.2">
      <c r="E36" s="1">
        <f>SUM(E2:E35)</f>
        <v>621111</v>
      </c>
      <c r="F36" s="1">
        <f>SUM(F2:F35)</f>
        <v>50121</v>
      </c>
      <c r="G36" s="1">
        <f>SUM(G2:G35)</f>
        <v>2510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Corpus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 Paccara</dc:creator>
  <cp:lastModifiedBy>MARTINA PACCARA</cp:lastModifiedBy>
  <dcterms:created xsi:type="dcterms:W3CDTF">2024-10-14T14:33:53Z</dcterms:created>
  <dcterms:modified xsi:type="dcterms:W3CDTF">2026-08-30T18:11:19Z</dcterms:modified>
</cp:coreProperties>
</file>