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apaccara/Documents/Documenti/Università/POST-LAUREA/DOTTORATO/Lavoro/Digitale/Stilometria/hexameters/"/>
    </mc:Choice>
  </mc:AlternateContent>
  <xr:revisionPtr revIDLastSave="0" documentId="13_ncr:1_{003F49BD-9F08-1940-AC01-41C4E8877D46}" xr6:coauthVersionLast="47" xr6:coauthVersionMax="47" xr10:uidLastSave="{00000000-0000-0000-0000-000000000000}"/>
  <bookViews>
    <workbookView xWindow="5860" yWindow="620" windowWidth="22940" windowHeight="15100" xr2:uid="{0A81A14F-60F6-FB4D-8AF2-4DB4EE2AB39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5" i="1" l="1"/>
  <c r="E45" i="1"/>
</calcChain>
</file>

<file path=xl/sharedStrings.xml><?xml version="1.0" encoding="utf-8"?>
<sst xmlns="http://schemas.openxmlformats.org/spreadsheetml/2006/main" count="195" uniqueCount="133">
  <si>
    <t>Hildebertus Cenomanensis</t>
  </si>
  <si>
    <t>Vita Beatae Mariae Aegyptiacae</t>
  </si>
  <si>
    <t>Eupolemius</t>
  </si>
  <si>
    <t>Judas</t>
  </si>
  <si>
    <t>Commentarium in Ecclesiasten (fragmenta)</t>
  </si>
  <si>
    <t>Sigebertus Gemblacensis</t>
  </si>
  <si>
    <t>Cantica canticorum Beatae Mariae</t>
  </si>
  <si>
    <t>Liber Esdre prophete</t>
  </si>
  <si>
    <t>Poetria Nova</t>
  </si>
  <si>
    <t>Galterus de Castellione</t>
  </si>
  <si>
    <t>Alexandreis</t>
  </si>
  <si>
    <t>Unkown</t>
  </si>
  <si>
    <t>fname</t>
  </si>
  <si>
    <t>title</t>
  </si>
  <si>
    <t>author</t>
  </si>
  <si>
    <t>Gaufridus de Vino Salvo </t>
  </si>
  <si>
    <t>De nuptiis Christi et Ecclesiae</t>
  </si>
  <si>
    <t>Fulcoius Bellovacensis</t>
  </si>
  <si>
    <t>U6_ruodlieb.txt</t>
  </si>
  <si>
    <t>Ruodlieb</t>
  </si>
  <si>
    <t>Planctus Eve</t>
  </si>
  <si>
    <t>Henricus Augustensis</t>
  </si>
  <si>
    <t>Doctrina Spiritualis</t>
  </si>
  <si>
    <t>Othlo de sancto Emmeramo</t>
  </si>
  <si>
    <t>U2_liberesdre.txt</t>
  </si>
  <si>
    <t>Vita Mathildis</t>
  </si>
  <si>
    <t>Donizus Canusinus</t>
  </si>
  <si>
    <t>Philippis</t>
  </si>
  <si>
    <t>Guillelmus Armoricus</t>
  </si>
  <si>
    <t>Liber Maiolichinus</t>
  </si>
  <si>
    <t>Ligurinus</t>
  </si>
  <si>
    <t xml:space="preserve">Nigellus de Longo Campo </t>
  </si>
  <si>
    <t>Brutus</t>
  </si>
  <si>
    <t>Gesta Regum Britanniae</t>
  </si>
  <si>
    <t>Vita Merlini</t>
  </si>
  <si>
    <t>Gaufridus Monemutensis</t>
  </si>
  <si>
    <t>U5_brutus.txt</t>
  </si>
  <si>
    <t>Henricus Pisanus</t>
  </si>
  <si>
    <t>Guntherus Parisiensis</t>
  </si>
  <si>
    <t>Passio Laurentii</t>
  </si>
  <si>
    <t>IH_architren.txt</t>
  </si>
  <si>
    <t>Iohannes de Hauvilla</t>
  </si>
  <si>
    <t>Architrenius</t>
  </si>
  <si>
    <t>Anticlaudianus de Antirufino</t>
  </si>
  <si>
    <t>Alanus ab Insulis</t>
  </si>
  <si>
    <t>Gesta Roberti Wiscardi</t>
  </si>
  <si>
    <t>Guillelmus Apuliensis</t>
  </si>
  <si>
    <t>Radulfus Cadomensis</t>
  </si>
  <si>
    <t>Gesta Tancredi</t>
  </si>
  <si>
    <t>Passio Beati Mauri</t>
  </si>
  <si>
    <t>Radulfus Tortarius</t>
  </si>
  <si>
    <t>Historia Gestorum</t>
  </si>
  <si>
    <t>Gilo Parisiensis</t>
  </si>
  <si>
    <t>De contemptu Mundi</t>
  </si>
  <si>
    <t>Flos medicinae</t>
  </si>
  <si>
    <t>Karolinus</t>
  </si>
  <si>
    <t>Aegidius Parisiensis</t>
  </si>
  <si>
    <t>Viaticus</t>
  </si>
  <si>
    <t>Aegidius Corboliensis</t>
  </si>
  <si>
    <t>AeC_viaticus.txt</t>
  </si>
  <si>
    <t>Composita medicaminum</t>
  </si>
  <si>
    <t>Carmen Friderici</t>
  </si>
  <si>
    <t>II_ylias.txt</t>
  </si>
  <si>
    <t>Ylias</t>
  </si>
  <si>
    <t>Iosephus Iscanus</t>
  </si>
  <si>
    <t>De vetula sive de mutatione vitae</t>
  </si>
  <si>
    <t>Karolellus</t>
  </si>
  <si>
    <t>OM_ernestus.txt</t>
  </si>
  <si>
    <t>Ernestus</t>
  </si>
  <si>
    <t>Odo Magdeburgensis</t>
  </si>
  <si>
    <t>Dialogi</t>
  </si>
  <si>
    <t>role</t>
  </si>
  <si>
    <t>candidate1</t>
  </si>
  <si>
    <t>biblical_impostor</t>
  </si>
  <si>
    <t>B_judas.txt</t>
  </si>
  <si>
    <t>Borchardus</t>
  </si>
  <si>
    <t>general_impostor</t>
  </si>
  <si>
    <t>n. words</t>
  </si>
  <si>
    <t>Bernardus Cluniacensis</t>
  </si>
  <si>
    <t>18 785</t>
  </si>
  <si>
    <t>De generatione Christi</t>
  </si>
  <si>
    <t>DC_mathildis.txt</t>
  </si>
  <si>
    <t>AeC_medicaminum.txt</t>
  </si>
  <si>
    <t>AeP_karolinus.txt</t>
  </si>
  <si>
    <t>AI_anticlaudianus.txt</t>
  </si>
  <si>
    <t>BC_contemptu.txt</t>
  </si>
  <si>
    <t>FB_nuptis.txt</t>
  </si>
  <si>
    <t>GAr_philippis.txt</t>
  </si>
  <si>
    <t>GC_alexandreis.txt</t>
  </si>
  <si>
    <t>GiP_historia.txt</t>
  </si>
  <si>
    <t>NLC_passio.txt</t>
  </si>
  <si>
    <t>OSE_doctrina.txt</t>
  </si>
  <si>
    <t>RT_mauri.txt</t>
  </si>
  <si>
    <t>U3_generatione.txt</t>
  </si>
  <si>
    <t>U4_dialogi.txt</t>
  </si>
  <si>
    <t>U5_britanniae.txt</t>
  </si>
  <si>
    <t>U9_vetula.txt</t>
  </si>
  <si>
    <t>U10_karolellus.txt</t>
  </si>
  <si>
    <t>GAp_roberti.txt</t>
  </si>
  <si>
    <t>GM_merlini.txt</t>
  </si>
  <si>
    <t>GVS_poetria.txt</t>
  </si>
  <si>
    <t>H_maria.txt</t>
  </si>
  <si>
    <t>HP_maiolichinus.txt</t>
  </si>
  <si>
    <t>RC_trancredi.txt</t>
  </si>
  <si>
    <t>SG_ecclesiasten.txt</t>
  </si>
  <si>
    <t>U1_canticamarie.txt</t>
  </si>
  <si>
    <t>GuP_ligurinus.txt</t>
  </si>
  <si>
    <t>HA_planctus.txt</t>
  </si>
  <si>
    <t>U7_flosmedicinae.txt</t>
  </si>
  <si>
    <t>U8_friderici.txt</t>
  </si>
  <si>
    <t>X_ordine</t>
  </si>
  <si>
    <t>De ordine mundi</t>
  </si>
  <si>
    <t>Problem</t>
  </si>
  <si>
    <t>X_certamina</t>
  </si>
  <si>
    <t>Certamina septem fratrum Machabaeorum</t>
  </si>
  <si>
    <t>X_machabaeis</t>
  </si>
  <si>
    <t>De Machabaeis</t>
  </si>
  <si>
    <t>X_Ecclesiastes</t>
  </si>
  <si>
    <t>In primum caput Ecclesiastes</t>
  </si>
  <si>
    <t>Biblia</t>
  </si>
  <si>
    <t>E_biblia.txt</t>
  </si>
  <si>
    <t>n. verses scanned</t>
  </si>
  <si>
    <t>Passio Katherinae</t>
  </si>
  <si>
    <t>U11_katherinae.txt</t>
  </si>
  <si>
    <t>M_capitulorum</t>
  </si>
  <si>
    <t>Marbodus Redonensis</t>
  </si>
  <si>
    <t>M_victoris</t>
  </si>
  <si>
    <t>Passio Victoris</t>
  </si>
  <si>
    <t>M_Maurilii</t>
  </si>
  <si>
    <t>Vita Maurilii</t>
  </si>
  <si>
    <t>Liber decem capitulorum</t>
  </si>
  <si>
    <t>H_epigrammata</t>
  </si>
  <si>
    <t>Epigrammata biblica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</si>
</sst>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8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ptos Narrow (Corpo)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right" vertical="center" wrapText="1"/>
    </xf>
    <xf numFmtId="0" fontId="5" fillId="0" borderId="5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0" xfId="0" applyFont="1"/>
    <xf numFmtId="0" fontId="6" fillId="0" borderId="4" xfId="0" applyFont="1" applyBorder="1"/>
    <xf numFmtId="0" fontId="7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8" fillId="0" borderId="0" xfId="0" applyFont="1"/>
    <xf numFmtId="0" fontId="9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805FE-F53C-1342-A640-F5413BD5C191}">
  <dimension ref="A1:K51"/>
  <sheetViews>
    <sheetView tabSelected="1" topLeftCell="A32" zoomScale="132" workbookViewId="0">
      <selection activeCell="F45" sqref="E45:F45"/>
    </sheetView>
  </sheetViews>
  <sheetFormatPr baseColWidth="10" defaultRowHeight="16" x14ac:dyDescent="0.2"/>
  <cols>
    <col min="1" max="1" width="17.6640625" style="12" bestFit="1" customWidth="1"/>
    <col min="2" max="2" width="49.5" style="1" bestFit="1" customWidth="1"/>
    <col min="3" max="3" width="22.6640625" style="1" bestFit="1" customWidth="1"/>
    <col min="4" max="4" width="22.6640625" style="1" customWidth="1"/>
    <col min="5" max="5" width="11" style="1" bestFit="1" customWidth="1"/>
    <col min="6" max="6" width="14.5" customWidth="1"/>
  </cols>
  <sheetData>
    <row r="1" spans="1:6" ht="17" thickBot="1" x14ac:dyDescent="0.25">
      <c r="A1" s="3" t="s">
        <v>12</v>
      </c>
      <c r="B1" s="10" t="s">
        <v>13</v>
      </c>
      <c r="C1" s="10" t="s">
        <v>14</v>
      </c>
      <c r="D1" s="10" t="s">
        <v>71</v>
      </c>
      <c r="E1" s="4" t="s">
        <v>77</v>
      </c>
      <c r="F1" s="14" t="s">
        <v>121</v>
      </c>
    </row>
    <row r="2" spans="1:6" ht="17" thickBot="1" x14ac:dyDescent="0.25">
      <c r="A2" s="5" t="s">
        <v>82</v>
      </c>
      <c r="B2" s="6" t="s">
        <v>60</v>
      </c>
      <c r="C2" s="6" t="s">
        <v>58</v>
      </c>
      <c r="D2" s="6" t="s">
        <v>76</v>
      </c>
      <c r="E2" s="7">
        <v>27669</v>
      </c>
      <c r="F2" s="12">
        <v>4414</v>
      </c>
    </row>
    <row r="3" spans="1:6" ht="17" thickBot="1" x14ac:dyDescent="0.25">
      <c r="A3" s="5" t="s">
        <v>59</v>
      </c>
      <c r="B3" s="6" t="s">
        <v>57</v>
      </c>
      <c r="C3" s="6" t="s">
        <v>58</v>
      </c>
      <c r="D3" s="6" t="s">
        <v>76</v>
      </c>
      <c r="E3" s="7">
        <v>14156</v>
      </c>
      <c r="F3" s="12">
        <v>2312</v>
      </c>
    </row>
    <row r="4" spans="1:6" ht="17" thickBot="1" x14ac:dyDescent="0.25">
      <c r="A4" s="5" t="s">
        <v>83</v>
      </c>
      <c r="B4" s="6" t="s">
        <v>55</v>
      </c>
      <c r="C4" s="6" t="s">
        <v>56</v>
      </c>
      <c r="D4" s="6" t="s">
        <v>76</v>
      </c>
      <c r="E4" s="7">
        <v>16739</v>
      </c>
      <c r="F4" s="12">
        <v>2509</v>
      </c>
    </row>
    <row r="5" spans="1:6" ht="17" thickBot="1" x14ac:dyDescent="0.25">
      <c r="A5" s="5" t="s">
        <v>84</v>
      </c>
      <c r="B5" s="6" t="s">
        <v>43</v>
      </c>
      <c r="C5" s="6" t="s">
        <v>44</v>
      </c>
      <c r="D5" s="6" t="s">
        <v>76</v>
      </c>
      <c r="E5" s="7">
        <v>27848</v>
      </c>
      <c r="F5" s="12">
        <v>4395</v>
      </c>
    </row>
    <row r="6" spans="1:6" ht="17" thickBot="1" x14ac:dyDescent="0.25">
      <c r="A6" s="5" t="s">
        <v>74</v>
      </c>
      <c r="B6" s="6" t="s">
        <v>3</v>
      </c>
      <c r="C6" s="6" t="s">
        <v>75</v>
      </c>
      <c r="D6" s="6" t="s">
        <v>73</v>
      </c>
      <c r="E6" s="7">
        <v>5872</v>
      </c>
      <c r="F6" s="12">
        <v>857</v>
      </c>
    </row>
    <row r="7" spans="1:6" ht="17" thickBot="1" x14ac:dyDescent="0.25">
      <c r="A7" s="5" t="s">
        <v>85</v>
      </c>
      <c r="B7" s="6" t="s">
        <v>53</v>
      </c>
      <c r="C7" s="6" t="s">
        <v>78</v>
      </c>
      <c r="D7" s="6" t="s">
        <v>76</v>
      </c>
      <c r="E7" s="7">
        <v>21741</v>
      </c>
      <c r="F7" s="12">
        <v>2904</v>
      </c>
    </row>
    <row r="8" spans="1:6" ht="17" thickBot="1" x14ac:dyDescent="0.25">
      <c r="A8" s="5" t="s">
        <v>81</v>
      </c>
      <c r="B8" s="6" t="s">
        <v>25</v>
      </c>
      <c r="C8" s="6" t="s">
        <v>26</v>
      </c>
      <c r="D8" s="6" t="s">
        <v>76</v>
      </c>
      <c r="E8" s="8" t="s">
        <v>79</v>
      </c>
      <c r="F8" s="12">
        <v>2796</v>
      </c>
    </row>
    <row r="9" spans="1:6" ht="17" thickBot="1" x14ac:dyDescent="0.25">
      <c r="A9" s="5" t="s">
        <v>120</v>
      </c>
      <c r="B9" s="6" t="s">
        <v>119</v>
      </c>
      <c r="C9" s="6" t="s">
        <v>2</v>
      </c>
      <c r="D9" s="6" t="s">
        <v>73</v>
      </c>
      <c r="E9" s="7">
        <v>9408</v>
      </c>
      <c r="F9" s="12">
        <v>1408</v>
      </c>
    </row>
    <row r="10" spans="1:6" ht="17" thickBot="1" x14ac:dyDescent="0.25">
      <c r="A10" s="5" t="s">
        <v>86</v>
      </c>
      <c r="B10" s="6" t="s">
        <v>16</v>
      </c>
      <c r="C10" s="6" t="s">
        <v>17</v>
      </c>
      <c r="D10" s="6" t="s">
        <v>73</v>
      </c>
      <c r="E10" s="7">
        <v>31725</v>
      </c>
      <c r="F10" s="12">
        <v>4635</v>
      </c>
    </row>
    <row r="11" spans="1:6" ht="17" thickBot="1" x14ac:dyDescent="0.25">
      <c r="A11" s="5" t="s">
        <v>98</v>
      </c>
      <c r="B11" s="6" t="s">
        <v>45</v>
      </c>
      <c r="C11" s="6" t="s">
        <v>46</v>
      </c>
      <c r="D11" s="6" t="s">
        <v>76</v>
      </c>
      <c r="E11" s="7">
        <v>17193</v>
      </c>
      <c r="F11" s="12">
        <v>2774</v>
      </c>
    </row>
    <row r="12" spans="1:6" ht="17" thickBot="1" x14ac:dyDescent="0.25">
      <c r="A12" s="5" t="s">
        <v>87</v>
      </c>
      <c r="B12" s="6" t="s">
        <v>27</v>
      </c>
      <c r="C12" s="6" t="s">
        <v>28</v>
      </c>
      <c r="D12" s="6" t="s">
        <v>76</v>
      </c>
      <c r="E12" s="7">
        <v>59400</v>
      </c>
      <c r="F12" s="12">
        <v>1351</v>
      </c>
    </row>
    <row r="13" spans="1:6" ht="17" thickBot="1" x14ac:dyDescent="0.25">
      <c r="A13" s="5" t="s">
        <v>88</v>
      </c>
      <c r="B13" s="6" t="s">
        <v>10</v>
      </c>
      <c r="C13" s="6" t="s">
        <v>9</v>
      </c>
      <c r="D13" s="6" t="s">
        <v>76</v>
      </c>
      <c r="E13" s="7">
        <v>34250</v>
      </c>
      <c r="F13" s="12">
        <v>5371</v>
      </c>
    </row>
    <row r="14" spans="1:6" ht="17" thickBot="1" x14ac:dyDescent="0.25">
      <c r="A14" s="5" t="s">
        <v>89</v>
      </c>
      <c r="B14" s="6" t="s">
        <v>51</v>
      </c>
      <c r="C14" s="6" t="s">
        <v>52</v>
      </c>
      <c r="D14" s="6" t="s">
        <v>76</v>
      </c>
      <c r="E14" s="7">
        <v>16333</v>
      </c>
      <c r="F14" s="12">
        <v>2522</v>
      </c>
    </row>
    <row r="15" spans="1:6" ht="17" thickBot="1" x14ac:dyDescent="0.25">
      <c r="A15" s="5" t="s">
        <v>99</v>
      </c>
      <c r="B15" s="6" t="s">
        <v>34</v>
      </c>
      <c r="C15" s="6" t="s">
        <v>35</v>
      </c>
      <c r="D15" s="6" t="s">
        <v>76</v>
      </c>
      <c r="E15" s="7">
        <v>9613</v>
      </c>
      <c r="F15" s="12">
        <v>1492</v>
      </c>
    </row>
    <row r="16" spans="1:6" ht="17" thickBot="1" x14ac:dyDescent="0.25">
      <c r="A16" s="5" t="s">
        <v>106</v>
      </c>
      <c r="B16" s="6" t="s">
        <v>30</v>
      </c>
      <c r="C16" s="6" t="s">
        <v>38</v>
      </c>
      <c r="D16" s="6" t="s">
        <v>76</v>
      </c>
      <c r="E16" s="7">
        <v>40744</v>
      </c>
      <c r="F16" s="12">
        <v>6480</v>
      </c>
    </row>
    <row r="17" spans="1:11" ht="17" thickBot="1" x14ac:dyDescent="0.25">
      <c r="A17" s="5" t="s">
        <v>100</v>
      </c>
      <c r="B17" s="6" t="s">
        <v>8</v>
      </c>
      <c r="C17" s="6" t="s">
        <v>15</v>
      </c>
      <c r="D17" s="6" t="s">
        <v>76</v>
      </c>
      <c r="E17" s="7">
        <v>14509</v>
      </c>
      <c r="F17" s="12">
        <v>2073</v>
      </c>
      <c r="H17" s="2"/>
    </row>
    <row r="18" spans="1:11" ht="17" thickBot="1" x14ac:dyDescent="0.25">
      <c r="A18" s="5" t="s">
        <v>131</v>
      </c>
      <c r="B18" s="6" t="s">
        <v>132</v>
      </c>
      <c r="C18" s="6" t="s">
        <v>0</v>
      </c>
      <c r="D18" s="6" t="s">
        <v>73</v>
      </c>
      <c r="E18" s="12">
        <v>2645</v>
      </c>
      <c r="F18" s="12">
        <v>394</v>
      </c>
      <c r="H18" s="2"/>
    </row>
    <row r="19" spans="1:11" s="2" customFormat="1" ht="17" thickBot="1" x14ac:dyDescent="0.25">
      <c r="A19" s="5" t="s">
        <v>101</v>
      </c>
      <c r="B19" s="6" t="s">
        <v>1</v>
      </c>
      <c r="C19" s="6" t="s">
        <v>0</v>
      </c>
      <c r="D19" s="6" t="s">
        <v>72</v>
      </c>
      <c r="E19" s="7">
        <v>5836</v>
      </c>
      <c r="F19" s="12">
        <v>849</v>
      </c>
      <c r="H19"/>
    </row>
    <row r="20" spans="1:11" ht="17" thickBot="1" x14ac:dyDescent="0.25">
      <c r="A20" s="5" t="s">
        <v>107</v>
      </c>
      <c r="B20" s="6" t="s">
        <v>20</v>
      </c>
      <c r="C20" s="6" t="s">
        <v>21</v>
      </c>
      <c r="D20" s="6" t="s">
        <v>76</v>
      </c>
      <c r="E20" s="7">
        <v>15002</v>
      </c>
      <c r="F20" s="12">
        <v>2200</v>
      </c>
    </row>
    <row r="21" spans="1:11" ht="17" thickBot="1" x14ac:dyDescent="0.25">
      <c r="A21" s="5" t="s">
        <v>102</v>
      </c>
      <c r="B21" s="6" t="s">
        <v>29</v>
      </c>
      <c r="C21" s="6" t="s">
        <v>37</v>
      </c>
      <c r="D21" s="6" t="s">
        <v>76</v>
      </c>
      <c r="E21" s="7">
        <v>21710</v>
      </c>
      <c r="F21" s="12">
        <v>3424</v>
      </c>
    </row>
    <row r="22" spans="1:11" ht="17" thickBot="1" x14ac:dyDescent="0.25">
      <c r="A22" s="5" t="s">
        <v>40</v>
      </c>
      <c r="B22" s="6" t="s">
        <v>42</v>
      </c>
      <c r="C22" s="6" t="s">
        <v>41</v>
      </c>
      <c r="D22" s="6" t="s">
        <v>76</v>
      </c>
      <c r="E22" s="7">
        <v>26553</v>
      </c>
      <c r="F22" s="12">
        <v>4270</v>
      </c>
    </row>
    <row r="23" spans="1:11" s="18" customFormat="1" ht="15" thickBot="1" x14ac:dyDescent="0.25">
      <c r="A23" s="5" t="s">
        <v>124</v>
      </c>
      <c r="B23" s="6" t="s">
        <v>130</v>
      </c>
      <c r="C23" s="6" t="s">
        <v>125</v>
      </c>
      <c r="D23" s="6" t="s">
        <v>76</v>
      </c>
      <c r="E23" s="7">
        <v>8513</v>
      </c>
      <c r="F23" s="12">
        <v>1292</v>
      </c>
    </row>
    <row r="24" spans="1:11" s="18" customFormat="1" ht="15" thickBot="1" x14ac:dyDescent="0.25">
      <c r="A24" s="5" t="s">
        <v>126</v>
      </c>
      <c r="B24" s="6" t="s">
        <v>127</v>
      </c>
      <c r="C24" s="6" t="s">
        <v>125</v>
      </c>
      <c r="D24" s="6" t="s">
        <v>76</v>
      </c>
      <c r="E24" s="7">
        <v>3469</v>
      </c>
      <c r="F24" s="12">
        <v>470</v>
      </c>
    </row>
    <row r="25" spans="1:11" s="18" customFormat="1" ht="14" x14ac:dyDescent="0.2">
      <c r="A25" s="12" t="s">
        <v>128</v>
      </c>
      <c r="B25" s="12" t="s">
        <v>129</v>
      </c>
      <c r="C25" s="12" t="s">
        <v>125</v>
      </c>
      <c r="D25" s="12" t="s">
        <v>76</v>
      </c>
      <c r="E25" s="12">
        <v>4105</v>
      </c>
      <c r="F25" s="18">
        <v>632</v>
      </c>
    </row>
    <row r="26" spans="1:11" s="18" customFormat="1" ht="15" thickBot="1" x14ac:dyDescent="0.25">
      <c r="A26" s="5" t="s">
        <v>62</v>
      </c>
      <c r="B26" s="6" t="s">
        <v>63</v>
      </c>
      <c r="C26" s="6" t="s">
        <v>64</v>
      </c>
      <c r="D26" s="6" t="s">
        <v>76</v>
      </c>
      <c r="E26" s="7">
        <v>23115</v>
      </c>
      <c r="F26" s="12">
        <v>3597</v>
      </c>
    </row>
    <row r="27" spans="1:11" ht="17" thickBot="1" x14ac:dyDescent="0.25">
      <c r="A27" s="5" t="s">
        <v>90</v>
      </c>
      <c r="B27" s="6" t="s">
        <v>39</v>
      </c>
      <c r="C27" s="6" t="s">
        <v>31</v>
      </c>
      <c r="D27" s="6" t="s">
        <v>76</v>
      </c>
      <c r="E27" s="7">
        <v>15647</v>
      </c>
      <c r="F27" s="12">
        <v>2302</v>
      </c>
    </row>
    <row r="28" spans="1:11" ht="17" thickBot="1" x14ac:dyDescent="0.25">
      <c r="A28" s="5" t="s">
        <v>67</v>
      </c>
      <c r="B28" s="6" t="s">
        <v>68</v>
      </c>
      <c r="C28" s="6" t="s">
        <v>69</v>
      </c>
      <c r="D28" s="6" t="s">
        <v>76</v>
      </c>
      <c r="E28" s="7">
        <v>22466</v>
      </c>
      <c r="F28" s="12">
        <v>3486</v>
      </c>
    </row>
    <row r="29" spans="1:11" ht="17" thickBot="1" x14ac:dyDescent="0.25">
      <c r="A29" s="5" t="s">
        <v>91</v>
      </c>
      <c r="B29" s="6" t="s">
        <v>22</v>
      </c>
      <c r="C29" s="6" t="s">
        <v>23</v>
      </c>
      <c r="D29" s="6" t="s">
        <v>76</v>
      </c>
      <c r="E29" s="7">
        <v>11523</v>
      </c>
      <c r="F29" s="12">
        <v>1725</v>
      </c>
      <c r="H29" s="1"/>
      <c r="I29" s="1"/>
      <c r="J29" s="1"/>
      <c r="K29" s="1"/>
    </row>
    <row r="30" spans="1:11" ht="17" thickBot="1" x14ac:dyDescent="0.25">
      <c r="A30" s="5" t="s">
        <v>103</v>
      </c>
      <c r="B30" s="6" t="s">
        <v>48</v>
      </c>
      <c r="C30" s="6" t="s">
        <v>47</v>
      </c>
      <c r="D30" s="6" t="s">
        <v>76</v>
      </c>
      <c r="E30" s="7">
        <v>6489</v>
      </c>
      <c r="F30" s="12">
        <v>939</v>
      </c>
    </row>
    <row r="31" spans="1:11" ht="17" thickBot="1" x14ac:dyDescent="0.25">
      <c r="A31" s="5" t="s">
        <v>92</v>
      </c>
      <c r="B31" s="6" t="s">
        <v>49</v>
      </c>
      <c r="C31" s="6" t="s">
        <v>50</v>
      </c>
      <c r="D31" s="6" t="s">
        <v>76</v>
      </c>
      <c r="E31" s="7">
        <v>5521</v>
      </c>
      <c r="F31" s="12">
        <v>867</v>
      </c>
    </row>
    <row r="32" spans="1:11" ht="17" thickBot="1" x14ac:dyDescent="0.25">
      <c r="A32" s="5" t="s">
        <v>104</v>
      </c>
      <c r="B32" s="6" t="s">
        <v>4</v>
      </c>
      <c r="C32" s="6" t="s">
        <v>5</v>
      </c>
      <c r="D32" s="6" t="s">
        <v>73</v>
      </c>
      <c r="E32" s="7">
        <v>2135</v>
      </c>
      <c r="F32" s="12">
        <v>298</v>
      </c>
    </row>
    <row r="33" spans="1:6" ht="17" thickBot="1" x14ac:dyDescent="0.25">
      <c r="A33" s="5" t="s">
        <v>105</v>
      </c>
      <c r="B33" s="6" t="s">
        <v>6</v>
      </c>
      <c r="C33" s="6" t="s">
        <v>11</v>
      </c>
      <c r="D33" s="6" t="s">
        <v>73</v>
      </c>
      <c r="E33" s="7">
        <v>2130</v>
      </c>
      <c r="F33" s="12">
        <v>305</v>
      </c>
    </row>
    <row r="34" spans="1:6" ht="17" thickBot="1" x14ac:dyDescent="0.25">
      <c r="A34" s="5" t="s">
        <v>24</v>
      </c>
      <c r="B34" s="6" t="s">
        <v>7</v>
      </c>
      <c r="C34" s="6" t="s">
        <v>11</v>
      </c>
      <c r="D34" s="6" t="s">
        <v>73</v>
      </c>
      <c r="E34" s="7">
        <v>2729</v>
      </c>
      <c r="F34" s="12">
        <v>418</v>
      </c>
    </row>
    <row r="35" spans="1:6" ht="17" thickBot="1" x14ac:dyDescent="0.25">
      <c r="A35" s="11" t="s">
        <v>93</v>
      </c>
      <c r="B35" s="6" t="s">
        <v>80</v>
      </c>
      <c r="C35" s="6" t="s">
        <v>11</v>
      </c>
      <c r="D35" s="6" t="s">
        <v>73</v>
      </c>
      <c r="E35" s="13">
        <v>9513</v>
      </c>
      <c r="F35" s="18">
        <v>1518</v>
      </c>
    </row>
    <row r="36" spans="1:6" ht="17" thickBot="1" x14ac:dyDescent="0.25">
      <c r="A36" s="5" t="s">
        <v>94</v>
      </c>
      <c r="B36" s="6" t="s">
        <v>70</v>
      </c>
      <c r="C36" s="6" t="s">
        <v>11</v>
      </c>
      <c r="D36" s="6" t="s">
        <v>76</v>
      </c>
      <c r="E36" s="7">
        <v>44017</v>
      </c>
      <c r="F36" s="12">
        <v>6560</v>
      </c>
    </row>
    <row r="37" spans="1:6" ht="17" thickBot="1" x14ac:dyDescent="0.25">
      <c r="A37" s="5" t="s">
        <v>95</v>
      </c>
      <c r="B37" s="6" t="s">
        <v>33</v>
      </c>
      <c r="C37" s="6" t="s">
        <v>11</v>
      </c>
      <c r="D37" s="6" t="s">
        <v>76</v>
      </c>
      <c r="E37" s="7">
        <v>30735</v>
      </c>
      <c r="F37" s="12">
        <v>4769</v>
      </c>
    </row>
    <row r="38" spans="1:6" ht="17" thickBot="1" x14ac:dyDescent="0.25">
      <c r="A38" s="5" t="s">
        <v>36</v>
      </c>
      <c r="B38" s="6" t="s">
        <v>32</v>
      </c>
      <c r="C38" s="6" t="s">
        <v>11</v>
      </c>
      <c r="D38" s="6" t="s">
        <v>76</v>
      </c>
      <c r="E38" s="7">
        <v>4116</v>
      </c>
      <c r="F38" s="12">
        <v>355</v>
      </c>
    </row>
    <row r="39" spans="1:6" ht="17" thickBot="1" x14ac:dyDescent="0.25">
      <c r="A39" s="5" t="s">
        <v>18</v>
      </c>
      <c r="B39" s="6" t="s">
        <v>19</v>
      </c>
      <c r="C39" s="6" t="s">
        <v>11</v>
      </c>
      <c r="D39" s="6" t="s">
        <v>76</v>
      </c>
      <c r="E39" s="7">
        <v>14482</v>
      </c>
      <c r="F39" s="12">
        <v>2091</v>
      </c>
    </row>
    <row r="40" spans="1:6" ht="17" thickBot="1" x14ac:dyDescent="0.25">
      <c r="A40" s="5" t="s">
        <v>108</v>
      </c>
      <c r="B40" s="6" t="s">
        <v>54</v>
      </c>
      <c r="C40" s="6" t="s">
        <v>11</v>
      </c>
      <c r="D40" s="6" t="s">
        <v>76</v>
      </c>
      <c r="E40" s="7">
        <v>13179</v>
      </c>
      <c r="F40" s="17">
        <v>1736</v>
      </c>
    </row>
    <row r="41" spans="1:6" ht="17" thickBot="1" x14ac:dyDescent="0.25">
      <c r="A41" s="5" t="s">
        <v>109</v>
      </c>
      <c r="B41" s="6" t="s">
        <v>61</v>
      </c>
      <c r="C41" s="6" t="s">
        <v>11</v>
      </c>
      <c r="D41" s="6" t="s">
        <v>76</v>
      </c>
      <c r="E41" s="7">
        <v>20718</v>
      </c>
      <c r="F41" s="12">
        <v>1493</v>
      </c>
    </row>
    <row r="42" spans="1:6" x14ac:dyDescent="0.2">
      <c r="A42" s="15" t="s">
        <v>96</v>
      </c>
      <c r="B42" s="9" t="s">
        <v>65</v>
      </c>
      <c r="C42" s="9" t="s">
        <v>11</v>
      </c>
      <c r="D42" s="9" t="s">
        <v>76</v>
      </c>
      <c r="E42" s="16">
        <v>15468</v>
      </c>
      <c r="F42" s="12">
        <v>2287</v>
      </c>
    </row>
    <row r="43" spans="1:6" ht="17" thickBot="1" x14ac:dyDescent="0.25">
      <c r="A43" s="5" t="s">
        <v>97</v>
      </c>
      <c r="B43" s="6" t="s">
        <v>66</v>
      </c>
      <c r="C43" s="6" t="s">
        <v>11</v>
      </c>
      <c r="D43" s="6" t="s">
        <v>76</v>
      </c>
      <c r="E43" s="7">
        <v>12353</v>
      </c>
      <c r="F43" s="12">
        <v>1925</v>
      </c>
    </row>
    <row r="44" spans="1:6" ht="17" thickBot="1" x14ac:dyDescent="0.25">
      <c r="A44" s="5" t="s">
        <v>123</v>
      </c>
      <c r="B44" s="6" t="s">
        <v>122</v>
      </c>
      <c r="C44" s="6" t="s">
        <v>11</v>
      </c>
      <c r="D44" s="6" t="s">
        <v>76</v>
      </c>
      <c r="E44" s="7">
        <v>22284</v>
      </c>
      <c r="F44" s="12">
        <v>3338</v>
      </c>
    </row>
    <row r="45" spans="1:6" x14ac:dyDescent="0.2">
      <c r="B45" s="12"/>
      <c r="C45" s="12"/>
      <c r="D45" s="12"/>
      <c r="E45" s="12">
        <f>SUM(E2:E44)</f>
        <v>713653</v>
      </c>
      <c r="F45" s="12">
        <f>SUM(F2:F44)</f>
        <v>101833</v>
      </c>
    </row>
    <row r="46" spans="1:6" x14ac:dyDescent="0.2">
      <c r="B46" s="12"/>
      <c r="C46" s="12"/>
      <c r="D46" s="12"/>
      <c r="E46" s="12"/>
      <c r="F46" s="1"/>
    </row>
    <row r="47" spans="1:6" x14ac:dyDescent="0.2">
      <c r="A47" s="12" t="s">
        <v>110</v>
      </c>
      <c r="B47" s="12" t="s">
        <v>111</v>
      </c>
      <c r="C47" s="12" t="s">
        <v>11</v>
      </c>
      <c r="D47" s="12" t="s">
        <v>112</v>
      </c>
      <c r="E47" s="12">
        <v>3655</v>
      </c>
      <c r="F47" s="12">
        <v>564</v>
      </c>
    </row>
    <row r="48" spans="1:6" x14ac:dyDescent="0.2">
      <c r="A48" s="12" t="s">
        <v>113</v>
      </c>
      <c r="B48" s="12" t="s">
        <v>114</v>
      </c>
      <c r="C48" s="12" t="s">
        <v>11</v>
      </c>
      <c r="D48" s="12" t="s">
        <v>112</v>
      </c>
      <c r="E48" s="12">
        <v>1002</v>
      </c>
      <c r="F48" s="12">
        <v>157</v>
      </c>
    </row>
    <row r="49" spans="1:6" x14ac:dyDescent="0.2">
      <c r="A49" s="12" t="s">
        <v>115</v>
      </c>
      <c r="B49" s="12" t="s">
        <v>116</v>
      </c>
      <c r="C49" s="12" t="s">
        <v>11</v>
      </c>
      <c r="D49" s="12" t="s">
        <v>112</v>
      </c>
      <c r="E49" s="12">
        <v>3085</v>
      </c>
      <c r="F49" s="12">
        <v>478</v>
      </c>
    </row>
    <row r="50" spans="1:6" x14ac:dyDescent="0.2">
      <c r="A50" s="12" t="s">
        <v>117</v>
      </c>
      <c r="B50" s="12" t="s">
        <v>118</v>
      </c>
      <c r="C50" s="12" t="s">
        <v>11</v>
      </c>
      <c r="D50" s="12" t="s">
        <v>112</v>
      </c>
      <c r="E50" s="12">
        <v>958</v>
      </c>
      <c r="F50" s="18">
        <v>151</v>
      </c>
    </row>
    <row r="51" spans="1:6" x14ac:dyDescent="0.2">
      <c r="B51" s="12"/>
      <c r="C51" s="12"/>
      <c r="D51" s="12"/>
      <c r="E51" s="12"/>
    </row>
  </sheetData>
  <sortState xmlns:xlrd2="http://schemas.microsoft.com/office/spreadsheetml/2017/richdata2" ref="A2:F44">
    <sortCondition ref="A2:A44"/>
  </sortState>
  <phoneticPr fontId="3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 Paccara</dc:creator>
  <cp:lastModifiedBy>MARTINA PACCARA</cp:lastModifiedBy>
  <dcterms:created xsi:type="dcterms:W3CDTF">2024-10-14T14:33:53Z</dcterms:created>
  <dcterms:modified xsi:type="dcterms:W3CDTF">2026-09-04T13:57:03Z</dcterms:modified>
</cp:coreProperties>
</file>